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ade.herman/Documents/00_github/sample-size-calculator/"/>
    </mc:Choice>
  </mc:AlternateContent>
  <xr:revisionPtr revIDLastSave="0" documentId="13_ncr:1_{A98BCBDB-6DFC-EF42-943D-A1CF3CD9D8EC}" xr6:coauthVersionLast="47" xr6:coauthVersionMax="47" xr10:uidLastSave="{00000000-0000-0000-0000-000000000000}"/>
  <bookViews>
    <workbookView xWindow="0" yWindow="500" windowWidth="25600" windowHeight="15500" activeTab="2" xr2:uid="{00000000-000D-0000-FFFF-FFFF00000000}"/>
  </bookViews>
  <sheets>
    <sheet name="Sample_Calculator" sheetId="1" r:id="rId1"/>
    <sheet name="Sample_Size_Pop" sheetId="2" r:id="rId2"/>
    <sheet name="Python_Sample_Size_Table" sheetId="3" r:id="rId3"/>
  </sheets>
  <definedNames>
    <definedName name="Adjusted_Sample_Size__Finite_Pop." localSheetId="0">Sample_Size_Pop!#REF!</definedName>
    <definedName name="Adjusted_Sample_Size__Finite_Pop.">Sample_Calculator!$B$9</definedName>
    <definedName name="Confidence_Level" localSheetId="0">Sample_Size_Pop!#REF!</definedName>
    <definedName name="Confidence_Level">Sample_Calculator!$B$5</definedName>
    <definedName name="Margin_of_Error" localSheetId="0">Sample_Size_Pop!#REF!</definedName>
    <definedName name="Margin_of_Error">Sample_Calculator!$B$4</definedName>
    <definedName name="Population_Size__N" localSheetId="0">Sample_Size_Pop!#REF!</definedName>
    <definedName name="Population_Size__N">Sample_Calculator!$B$3</definedName>
    <definedName name="Sample_Size__Infinite_Pop." localSheetId="0">Sample_Size_Pop!#REF!</definedName>
    <definedName name="Sample_Size__Infinite_Pop.">Sample_Calculator!$B$8</definedName>
    <definedName name="sample_size_reference_table" localSheetId="2">Python_Sample_Size_Table!$B$11:$I$15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AfRFSZOY9GPL8/j5t4K5SgcmzItecdEAHoC8ybsPRo="/>
    </ext>
  </extLst>
</workbook>
</file>

<file path=xl/calcChain.xml><?xml version="1.0" encoding="utf-8"?>
<calcChain xmlns="http://schemas.openxmlformats.org/spreadsheetml/2006/main">
  <c r="J8" i="2" l="1"/>
  <c r="I8" i="2" s="1"/>
  <c r="E8" i="2"/>
  <c r="D8" i="2"/>
  <c r="C8" i="2"/>
  <c r="B8" i="2"/>
  <c r="J7" i="2"/>
  <c r="I7" i="2" s="1"/>
  <c r="J6" i="2"/>
  <c r="I6" i="2" s="1"/>
  <c r="J5" i="2"/>
  <c r="E5" i="2" s="1"/>
  <c r="B5" i="2"/>
  <c r="J4" i="2"/>
  <c r="F4" i="2" s="1"/>
  <c r="H4" i="2"/>
  <c r="G4" i="2"/>
  <c r="B8" i="1"/>
  <c r="B9" i="1" s="1"/>
  <c r="F3" i="1"/>
  <c r="C6" i="2" l="1"/>
  <c r="B7" i="2"/>
  <c r="I4" i="2"/>
  <c r="D6" i="2"/>
  <c r="C7" i="2"/>
  <c r="E6" i="2"/>
  <c r="D7" i="2"/>
  <c r="F6" i="2"/>
  <c r="E7" i="2"/>
  <c r="B6" i="2"/>
  <c r="F5" i="2"/>
  <c r="G6" i="2"/>
  <c r="F7" i="2"/>
  <c r="F8" i="2"/>
  <c r="B4" i="2"/>
  <c r="G5" i="2"/>
  <c r="H6" i="2"/>
  <c r="G7" i="2"/>
  <c r="G8" i="2"/>
  <c r="C4" i="2"/>
  <c r="H7" i="2"/>
  <c r="H5" i="2"/>
  <c r="I5" i="2"/>
  <c r="D4" i="2"/>
  <c r="C5" i="2"/>
  <c r="H8" i="2"/>
  <c r="E4" i="2"/>
  <c r="D5" i="2"/>
</calcChain>
</file>

<file path=xl/sharedStrings.xml><?xml version="1.0" encoding="utf-8"?>
<sst xmlns="http://schemas.openxmlformats.org/spreadsheetml/2006/main" count="27" uniqueCount="25">
  <si>
    <t>Population Sample Size Calculator</t>
  </si>
  <si>
    <t>Confidence Levels</t>
  </si>
  <si>
    <t>Z</t>
  </si>
  <si>
    <t>Population Size (N)</t>
  </si>
  <si>
    <t>Total population to sample from</t>
  </si>
  <si>
    <t>Margin of Error (E)</t>
  </si>
  <si>
    <t>e.g., 0.05 = ±5%</t>
  </si>
  <si>
    <t>Confidence Level (Z)</t>
  </si>
  <si>
    <t>1.96 = 95% confidence</t>
  </si>
  <si>
    <t>Estimated Proportion (p)</t>
  </si>
  <si>
    <t>Use 0.5 for maximum variability</t>
  </si>
  <si>
    <t>Sample Size (Infinite Pop.)</t>
  </si>
  <si>
    <t>Formula cell - locked</t>
  </si>
  <si>
    <t>Adjusted Sample Size (Finite Pop.)</t>
  </si>
  <si>
    <t>Margin of Error</t>
  </si>
  <si>
    <t>Infinite Population Sample (m)</t>
  </si>
  <si>
    <t>Population (N)</t>
  </si>
  <si>
    <t>Margin of Error (±)</t>
  </si>
  <si>
    <t>N=100</t>
  </si>
  <si>
    <t>N=500</t>
  </si>
  <si>
    <t>N=1000</t>
  </si>
  <si>
    <t>N=3000</t>
  </si>
  <si>
    <t>N=10,000</t>
  </si>
  <si>
    <t>N=100,000</t>
  </si>
  <si>
    <t>N=1,000,000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</si>
</sst>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5">
    <font>
      <sz val="11"/>
      <color theme="1"/>
      <name val="Calibri"/>
      <scheme val="minor"/>
    </font>
    <font>
      <sz val="11"/>
      <color theme="1"/>
      <name val="Avenir"/>
      <family val="2"/>
    </font>
    <font>
      <b/>
      <sz val="22"/>
      <color theme="1"/>
      <name val="Avenir"/>
      <family val="2"/>
    </font>
    <font>
      <sz val="11"/>
      <name val="Calibri"/>
      <family val="2"/>
    </font>
    <font>
      <b/>
      <sz val="16"/>
      <color theme="1"/>
      <name val="Avenir"/>
      <family val="2"/>
    </font>
    <font>
      <sz val="16"/>
      <color theme="1"/>
      <name val="Avenir"/>
      <family val="2"/>
    </font>
    <font>
      <b/>
      <sz val="14"/>
      <color theme="1"/>
      <name val="Helvetica Neue"/>
      <family val="2"/>
    </font>
    <font>
      <sz val="14"/>
      <color theme="1"/>
      <name val="Helvetica Neue"/>
      <family val="2"/>
    </font>
    <font>
      <sz val="16"/>
      <color theme="1"/>
      <name val="Helvetica Neue"/>
      <family val="2"/>
    </font>
    <font>
      <b/>
      <sz val="18"/>
      <color theme="1"/>
      <name val="Helvetica Neue"/>
      <family val="2"/>
    </font>
    <font>
      <sz val="12"/>
      <color theme="1"/>
      <name val="Helvetica Neue"/>
      <family val="2"/>
    </font>
    <font>
      <b/>
      <sz val="16"/>
      <color theme="1"/>
      <name val="Helvetica Neue"/>
      <family val="2"/>
    </font>
    <font>
      <b/>
      <i/>
      <sz val="16"/>
      <color theme="1"/>
      <name val="Helvetica Neue"/>
      <family val="2"/>
    </font>
    <font>
      <sz val="11"/>
      <color theme="1"/>
      <name val="Calibri"/>
      <family val="2"/>
    </font>
    <font>
      <b/>
      <sz val="20"/>
      <color theme="1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rgb="FFB2A1C7"/>
        <bgColor rgb="FFB2A1C7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double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dotted">
        <color rgb="FF000000"/>
      </bottom>
      <diagonal/>
    </border>
    <border>
      <left style="double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double">
        <color rgb="FF000000"/>
      </right>
      <top style="dotted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wrapText="1"/>
    </xf>
    <xf numFmtId="0" fontId="1" fillId="2" borderId="3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3" xfId="0" applyFont="1" applyFill="1" applyBorder="1" applyAlignment="1">
      <alignment horizontal="right" wrapText="1"/>
    </xf>
    <xf numFmtId="9" fontId="5" fillId="3" borderId="3" xfId="0" applyNumberFormat="1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10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0" fontId="5" fillId="4" borderId="9" xfId="0" applyFont="1" applyFill="1" applyBorder="1" applyAlignment="1">
      <alignment wrapText="1"/>
    </xf>
    <xf numFmtId="0" fontId="5" fillId="4" borderId="10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2" borderId="9" xfId="0" applyFont="1" applyFill="1" applyBorder="1" applyAlignment="1">
      <alignment wrapText="1"/>
    </xf>
    <xf numFmtId="0" fontId="4" fillId="2" borderId="11" xfId="0" applyFont="1" applyFill="1" applyBorder="1" applyAlignment="1">
      <alignment wrapText="1"/>
    </xf>
    <xf numFmtId="2" fontId="4" fillId="2" borderId="12" xfId="0" applyNumberFormat="1" applyFont="1" applyFill="1" applyBorder="1" applyAlignment="1">
      <alignment wrapText="1"/>
    </xf>
    <xf numFmtId="0" fontId="5" fillId="2" borderId="13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6" fillId="0" borderId="0" xfId="0" applyFont="1"/>
    <xf numFmtId="0" fontId="7" fillId="0" borderId="0" xfId="0" applyFont="1"/>
    <xf numFmtId="2" fontId="7" fillId="0" borderId="0" xfId="0" applyNumberFormat="1" applyFont="1"/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2" borderId="3" xfId="0" applyFont="1" applyFill="1" applyBorder="1" applyAlignment="1">
      <alignment vertical="center" wrapText="1"/>
    </xf>
    <xf numFmtId="1" fontId="11" fillId="2" borderId="3" xfId="0" applyNumberFormat="1" applyFont="1" applyFill="1" applyBorder="1" applyAlignment="1">
      <alignment vertical="center" wrapText="1"/>
    </xf>
    <xf numFmtId="164" fontId="11" fillId="2" borderId="3" xfId="0" applyNumberFormat="1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wrapText="1"/>
    </xf>
    <xf numFmtId="0" fontId="11" fillId="0" borderId="0" xfId="0" applyFont="1" applyAlignment="1">
      <alignment horizontal="center" vertical="top" wrapText="1"/>
    </xf>
    <xf numFmtId="0" fontId="13" fillId="5" borderId="3" xfId="0" applyFont="1" applyFill="1" applyBorder="1"/>
    <xf numFmtId="0" fontId="11" fillId="5" borderId="3" xfId="0" applyFont="1" applyFill="1" applyBorder="1"/>
    <xf numFmtId="0" fontId="11" fillId="5" borderId="3" xfId="0" applyFont="1" applyFill="1" applyBorder="1" applyAlignment="1">
      <alignment horizontal="center" vertical="top"/>
    </xf>
    <xf numFmtId="9" fontId="11" fillId="5" borderId="3" xfId="0" applyNumberFormat="1" applyFont="1" applyFill="1" applyBorder="1" applyAlignment="1">
      <alignment horizontal="center" vertical="top"/>
    </xf>
    <xf numFmtId="0" fontId="8" fillId="4" borderId="3" xfId="0" applyFont="1" applyFill="1" applyBorder="1" applyAlignment="1">
      <alignment horizontal="right"/>
    </xf>
    <xf numFmtId="0" fontId="13" fillId="4" borderId="3" xfId="0" applyFont="1" applyFill="1" applyBorder="1"/>
    <xf numFmtId="0" fontId="3" fillId="0" borderId="2" xfId="0" applyFont="1" applyBorder="1"/>
    <xf numFmtId="0" fontId="9" fillId="2" borderId="14" xfId="0" applyFont="1" applyFill="1" applyBorder="1" applyAlignment="1">
      <alignment horizontal="center" wrapText="1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14" fillId="5" borderId="1" xfId="0" applyFont="1" applyFill="1" applyBorder="1" applyAlignment="1">
      <alignment horizontal="center" vertical="center"/>
    </xf>
    <xf numFmtId="0" fontId="3" fillId="0" borderId="20" xfId="0" applyFont="1" applyBorder="1"/>
    <xf numFmtId="0" fontId="14" fillId="5" borderId="21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3" xfId="0" applyFont="1" applyBorder="1"/>
    <xf numFmtId="0" fontId="2" fillId="2" borderId="4" xfId="0" applyFont="1" applyFill="1" applyBorder="1" applyAlignment="1">
      <alignment horizontal="left" vertical="center" wrapText="1"/>
    </xf>
    <xf numFmtId="1" fontId="8" fillId="2" borderId="3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activeCell="B9" sqref="B9"/>
    </sheetView>
  </sheetViews>
  <sheetFormatPr baseColWidth="10" defaultColWidth="14.5" defaultRowHeight="15" customHeight="1"/>
  <cols>
    <col min="1" max="1" width="19.6640625" customWidth="1"/>
    <col min="2" max="2" width="26" customWidth="1"/>
    <col min="3" max="3" width="40" customWidth="1"/>
    <col min="4" max="4" width="9.5" customWidth="1"/>
    <col min="5" max="5" width="18" customWidth="1"/>
    <col min="6" max="6" width="22.5" customWidth="1"/>
    <col min="7" max="26" width="10.6640625" customWidth="1"/>
  </cols>
  <sheetData>
    <row r="1" spans="1:26" ht="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7" customHeight="1" thickBot="1">
      <c r="A2" s="51" t="s">
        <v>0</v>
      </c>
      <c r="B2" s="51"/>
      <c r="C2" s="51"/>
      <c r="D2" s="1"/>
      <c r="E2" s="3" t="s">
        <v>1</v>
      </c>
      <c r="F2" s="4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9" thickTop="1">
      <c r="A3" s="7" t="s">
        <v>3</v>
      </c>
      <c r="B3" s="8">
        <v>1000</v>
      </c>
      <c r="C3" s="9" t="s">
        <v>4</v>
      </c>
      <c r="D3" s="1"/>
      <c r="E3" s="5">
        <v>0.9</v>
      </c>
      <c r="F3" s="6">
        <f>1.645</f>
        <v>1.645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8">
      <c r="A4" s="10" t="s">
        <v>5</v>
      </c>
      <c r="B4" s="11">
        <v>0.05</v>
      </c>
      <c r="C4" s="12" t="s">
        <v>6</v>
      </c>
      <c r="D4" s="1"/>
      <c r="E4" s="5">
        <v>0.95</v>
      </c>
      <c r="F4" s="6">
        <v>1.96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8">
      <c r="A5" s="10" t="s">
        <v>7</v>
      </c>
      <c r="B5" s="11">
        <v>1.96</v>
      </c>
      <c r="C5" s="12" t="s">
        <v>8</v>
      </c>
      <c r="D5" s="1"/>
      <c r="E5" s="5">
        <v>0.99</v>
      </c>
      <c r="F5" s="6">
        <v>2.5760000000000001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8">
      <c r="A6" s="10" t="s">
        <v>9</v>
      </c>
      <c r="B6" s="11">
        <v>0.5</v>
      </c>
      <c r="C6" s="12" t="s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3">
      <c r="A7" s="13"/>
      <c r="B7" s="14"/>
      <c r="C7" s="1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8">
      <c r="A8" s="10" t="s">
        <v>11</v>
      </c>
      <c r="B8" s="17">
        <f>(B5^2 * B6 * (1 - B6)) / (B4^2)</f>
        <v>384.15999999999991</v>
      </c>
      <c r="C8" s="12" t="s">
        <v>12</v>
      </c>
      <c r="D8" s="1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2">
      <c r="A9" s="18" t="s">
        <v>13</v>
      </c>
      <c r="B9" s="19">
        <f>B8/(1+(B8-1)/B3)</f>
        <v>277.74082535643015</v>
      </c>
      <c r="C9" s="20" t="s">
        <v>12</v>
      </c>
      <c r="D9" s="1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1"/>
      <c r="B10" s="21"/>
      <c r="C10" s="21"/>
      <c r="D10" s="1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"/>
      <c r="B11" s="2"/>
      <c r="C11" s="2"/>
      <c r="D11" s="1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C22" s="2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C23" s="23"/>
      <c r="D23" s="22"/>
      <c r="E23" s="2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C24" s="23"/>
      <c r="D24" s="23"/>
      <c r="E24" s="2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C25" s="23"/>
      <c r="D25" s="23"/>
      <c r="E25" s="2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4"/>
      <c r="B26" s="23"/>
      <c r="C26" s="23"/>
      <c r="D26" s="23"/>
      <c r="E26" s="2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4"/>
      <c r="B27" s="23"/>
      <c r="C27" s="23"/>
      <c r="D27" s="23"/>
      <c r="E27" s="2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23"/>
      <c r="E28" s="2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C2"/>
  </mergeCells>
  <conditionalFormatting sqref="B9">
    <cfRule type="cellIs" dxfId="2" priority="1" operator="greaterThan">
      <formula>400</formula>
    </cfRule>
    <cfRule type="cellIs" dxfId="1" priority="2" operator="between">
      <formula>100</formula>
      <formula>400</formula>
    </cfRule>
    <cfRule type="cellIs" dxfId="0" priority="3" operator="lessThan">
      <formula>100</formula>
    </cfRule>
  </conditionalFormatting>
  <dataValidations count="2">
    <dataValidation type="list" allowBlank="1" showErrorMessage="1" sqref="B4" xr:uid="{00000000-0002-0000-0000-000000000000}">
      <formula1>"0.10,0.05,0.03,0.01"</formula1>
    </dataValidation>
    <dataValidation type="list" allowBlank="1" showErrorMessage="1" sqref="B5" xr:uid="{00000000-0002-0000-0000-000001000000}">
      <formula1>"1.645,1.96,2.576"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>
      <selection activeCell="I4" sqref="I4"/>
    </sheetView>
  </sheetViews>
  <sheetFormatPr baseColWidth="10" defaultColWidth="14.5" defaultRowHeight="15" customHeight="1"/>
  <cols>
    <col min="1" max="1" width="15.1640625" customWidth="1"/>
    <col min="2" max="2" width="12.1640625" customWidth="1"/>
    <col min="3" max="3" width="9.5" customWidth="1"/>
    <col min="4" max="4" width="11.6640625" customWidth="1"/>
    <col min="5" max="5" width="11.83203125" customWidth="1"/>
    <col min="6" max="6" width="13.1640625" customWidth="1"/>
    <col min="7" max="7" width="13.5" customWidth="1"/>
    <col min="8" max="8" width="14.83203125" customWidth="1"/>
    <col min="9" max="9" width="16.33203125" customWidth="1"/>
    <col min="10" max="10" width="18.5" customWidth="1"/>
    <col min="11" max="11" width="10.83203125" customWidth="1"/>
    <col min="12" max="26" width="10.6640625" customWidth="1"/>
  </cols>
  <sheetData>
    <row r="1" spans="1:26" ht="17.25" customHeight="1">
      <c r="A1" s="25"/>
      <c r="B1" s="40" t="s">
        <v>3</v>
      </c>
      <c r="C1" s="41"/>
      <c r="D1" s="41"/>
      <c r="E1" s="41"/>
      <c r="F1" s="41"/>
      <c r="G1" s="41"/>
      <c r="H1" s="41"/>
      <c r="I1" s="42"/>
      <c r="J1" s="25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30" customHeight="1">
      <c r="A2" s="25"/>
      <c r="B2" s="43"/>
      <c r="C2" s="44"/>
      <c r="D2" s="44"/>
      <c r="E2" s="44"/>
      <c r="F2" s="44"/>
      <c r="G2" s="44"/>
      <c r="H2" s="44"/>
      <c r="I2" s="45"/>
      <c r="J2" s="25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63">
      <c r="A3" s="27" t="s">
        <v>14</v>
      </c>
      <c r="B3" s="28">
        <v>100</v>
      </c>
      <c r="C3" s="29">
        <v>500</v>
      </c>
      <c r="D3" s="29">
        <v>1000</v>
      </c>
      <c r="E3" s="29">
        <v>3000</v>
      </c>
      <c r="F3" s="29">
        <v>5000</v>
      </c>
      <c r="G3" s="29">
        <v>10000</v>
      </c>
      <c r="H3" s="29">
        <v>100000</v>
      </c>
      <c r="I3" s="29">
        <v>1000000</v>
      </c>
      <c r="J3" s="30" t="s">
        <v>15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20">
      <c r="A4" s="31">
        <v>0.01</v>
      </c>
      <c r="B4" s="52">
        <f t="shared" ref="B4:I4" si="0">CEILING($J$4/(1+(($J$4-1)/B$3)), 1 )</f>
        <v>99</v>
      </c>
      <c r="C4" s="52">
        <f t="shared" si="0"/>
        <v>476</v>
      </c>
      <c r="D4" s="52">
        <f t="shared" si="0"/>
        <v>906</v>
      </c>
      <c r="E4" s="52">
        <f t="shared" si="0"/>
        <v>2287</v>
      </c>
      <c r="F4" s="52">
        <f t="shared" si="0"/>
        <v>3289</v>
      </c>
      <c r="G4" s="52">
        <f t="shared" si="0"/>
        <v>4900</v>
      </c>
      <c r="H4" s="52">
        <f t="shared" si="0"/>
        <v>8763</v>
      </c>
      <c r="I4" s="52">
        <f t="shared" si="0"/>
        <v>9513</v>
      </c>
      <c r="J4" s="52">
        <f>(Sample_Calculator!$B$5^2 * Sample_Calculator!$B$6 * (1 - Sample_Calculator!$B$6)) / (A4^2)</f>
        <v>9603.9999999999982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20">
      <c r="A5" s="31">
        <v>0.03</v>
      </c>
      <c r="B5" s="52">
        <f t="shared" ref="B5:I5" si="1">CEILING($J$5/(1+(($J$5-1)/B$3)), 1 )</f>
        <v>92</v>
      </c>
      <c r="C5" s="52">
        <f t="shared" si="1"/>
        <v>341</v>
      </c>
      <c r="D5" s="52">
        <f t="shared" si="1"/>
        <v>517</v>
      </c>
      <c r="E5" s="52">
        <f t="shared" si="1"/>
        <v>788</v>
      </c>
      <c r="F5" s="52">
        <f t="shared" si="1"/>
        <v>880</v>
      </c>
      <c r="G5" s="52">
        <f t="shared" si="1"/>
        <v>965</v>
      </c>
      <c r="H5" s="52">
        <f t="shared" si="1"/>
        <v>1056</v>
      </c>
      <c r="I5" s="52">
        <f t="shared" si="1"/>
        <v>1066</v>
      </c>
      <c r="J5" s="52">
        <f>(Sample_Calculator!$B$5^2 * Sample_Calculator!$B$6 * (1 - Sample_Calculator!$B$6)) / (A5^2)</f>
        <v>1067.1111111111111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0">
      <c r="A6" s="31">
        <v>0.05</v>
      </c>
      <c r="B6" s="52">
        <f t="shared" ref="B6:I6" si="2">CEILING($J$6/(1+(($J$6-1)/B$3)), 1 )</f>
        <v>80</v>
      </c>
      <c r="C6" s="52">
        <f t="shared" si="2"/>
        <v>218</v>
      </c>
      <c r="D6" s="52">
        <f t="shared" si="2"/>
        <v>278</v>
      </c>
      <c r="E6" s="52">
        <f t="shared" si="2"/>
        <v>341</v>
      </c>
      <c r="F6" s="52">
        <f t="shared" si="2"/>
        <v>357</v>
      </c>
      <c r="G6" s="52">
        <f t="shared" si="2"/>
        <v>370</v>
      </c>
      <c r="H6" s="52">
        <f t="shared" si="2"/>
        <v>383</v>
      </c>
      <c r="I6" s="52">
        <f t="shared" si="2"/>
        <v>385</v>
      </c>
      <c r="J6" s="52">
        <f>(Sample_Calculator!$B$5^2 * Sample_Calculator!$B$6 * (1 - Sample_Calculator!$B$6)) / (A6^2)</f>
        <v>384.15999999999991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20">
      <c r="A7" s="31">
        <v>7.0000000000000007E-2</v>
      </c>
      <c r="B7" s="52">
        <f t="shared" ref="B7:I7" si="3">CEILING($J$7/(1+(($J$7-1)/B$3)), 1 )</f>
        <v>67</v>
      </c>
      <c r="C7" s="52">
        <f t="shared" si="3"/>
        <v>142</v>
      </c>
      <c r="D7" s="52">
        <f t="shared" si="3"/>
        <v>165</v>
      </c>
      <c r="E7" s="52">
        <f t="shared" si="3"/>
        <v>185</v>
      </c>
      <c r="F7" s="52">
        <f t="shared" si="3"/>
        <v>189</v>
      </c>
      <c r="G7" s="52">
        <f t="shared" si="3"/>
        <v>193</v>
      </c>
      <c r="H7" s="52">
        <f t="shared" si="3"/>
        <v>196</v>
      </c>
      <c r="I7" s="52">
        <f t="shared" si="3"/>
        <v>196</v>
      </c>
      <c r="J7" s="52">
        <f>(Sample_Calculator!$B$5^2 * Sample_Calculator!$B$6 * (1 - Sample_Calculator!$B$6)) / (A7^2)</f>
        <v>195.99999999999994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20">
      <c r="A8" s="31">
        <v>0.1</v>
      </c>
      <c r="B8" s="52">
        <f t="shared" ref="B8:I8" si="4">CEILING($J$8/(1+(($J$8-1)/B$3)), 1 )</f>
        <v>50</v>
      </c>
      <c r="C8" s="52">
        <f t="shared" si="4"/>
        <v>81</v>
      </c>
      <c r="D8" s="52">
        <f t="shared" si="4"/>
        <v>88</v>
      </c>
      <c r="E8" s="52">
        <f t="shared" si="4"/>
        <v>94</v>
      </c>
      <c r="F8" s="52">
        <f t="shared" si="4"/>
        <v>95</v>
      </c>
      <c r="G8" s="52">
        <f t="shared" si="4"/>
        <v>96</v>
      </c>
      <c r="H8" s="52">
        <f t="shared" si="4"/>
        <v>96</v>
      </c>
      <c r="I8" s="52">
        <f t="shared" si="4"/>
        <v>97</v>
      </c>
      <c r="J8" s="52">
        <f>(Sample_Calculator!$B$5^2 * Sample_Calculator!$B$6 * (1 - Sample_Calculator!$B$6)) / (A8^2)</f>
        <v>96.039999999999978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6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5.7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5.7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">
    <mergeCell ref="B1:I2"/>
  </mergeCells>
  <conditionalFormatting sqref="B4:I8">
    <cfRule type="colorScale" priority="1">
      <colorScale>
        <cfvo type="min"/>
        <cfvo type="percentile" val="50"/>
        <cfvo type="max"/>
        <color rgb="FFC00000"/>
        <color rgb="FFFFEB84"/>
        <color rgb="FF00B050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rintOptions horizontalCentered="1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000"/>
  <sheetViews>
    <sheetView tabSelected="1" workbookViewId="0"/>
  </sheetViews>
  <sheetFormatPr baseColWidth="10" defaultColWidth="14.5" defaultRowHeight="15" customHeight="1"/>
  <cols>
    <col min="1" max="1" width="16.1640625" customWidth="1"/>
    <col min="2" max="2" width="15.1640625" customWidth="1"/>
    <col min="3" max="3" width="12.1640625" customWidth="1"/>
    <col min="4" max="4" width="15" customWidth="1"/>
    <col min="5" max="5" width="11" customWidth="1"/>
    <col min="6" max="6" width="16.6640625" customWidth="1"/>
    <col min="7" max="8" width="22.6640625" customWidth="1"/>
    <col min="9" max="9" width="29.33203125" customWidth="1"/>
    <col min="10" max="26" width="8.83203125" customWidth="1"/>
  </cols>
  <sheetData>
    <row r="2" spans="1:9" ht="39" customHeight="1">
      <c r="A2" s="33"/>
      <c r="B2" s="33"/>
      <c r="C2" s="46" t="s">
        <v>16</v>
      </c>
      <c r="D2" s="47"/>
      <c r="E2" s="47"/>
      <c r="F2" s="47"/>
      <c r="G2" s="47"/>
      <c r="H2" s="47"/>
      <c r="I2" s="39"/>
    </row>
    <row r="3" spans="1:9" ht="21" customHeight="1">
      <c r="A3" s="48" t="s">
        <v>17</v>
      </c>
      <c r="B3" s="34"/>
      <c r="C3" s="35" t="s">
        <v>18</v>
      </c>
      <c r="D3" s="35" t="s">
        <v>19</v>
      </c>
      <c r="E3" s="35" t="s">
        <v>20</v>
      </c>
      <c r="F3" s="35" t="s">
        <v>21</v>
      </c>
      <c r="G3" s="35" t="s">
        <v>22</v>
      </c>
      <c r="H3" s="35" t="s">
        <v>23</v>
      </c>
      <c r="I3" s="35" t="s">
        <v>24</v>
      </c>
    </row>
    <row r="4" spans="1:9" ht="21" customHeight="1">
      <c r="A4" s="49"/>
      <c r="B4" s="36">
        <v>0.01</v>
      </c>
      <c r="C4" s="37">
        <v>99</v>
      </c>
      <c r="D4" s="37">
        <v>476</v>
      </c>
      <c r="E4" s="37">
        <v>906</v>
      </c>
      <c r="F4" s="37">
        <v>2287</v>
      </c>
      <c r="G4" s="37">
        <v>4900</v>
      </c>
      <c r="H4" s="37">
        <v>8763</v>
      </c>
      <c r="I4" s="37">
        <v>9513</v>
      </c>
    </row>
    <row r="5" spans="1:9" ht="21" customHeight="1">
      <c r="A5" s="49"/>
      <c r="B5" s="36">
        <v>0.03</v>
      </c>
      <c r="C5" s="37">
        <v>92</v>
      </c>
      <c r="D5" s="37">
        <v>341</v>
      </c>
      <c r="E5" s="37">
        <v>517</v>
      </c>
      <c r="F5" s="37">
        <v>788</v>
      </c>
      <c r="G5" s="37">
        <v>965</v>
      </c>
      <c r="H5" s="37">
        <v>1056</v>
      </c>
      <c r="I5" s="37">
        <v>1066</v>
      </c>
    </row>
    <row r="6" spans="1:9" ht="21" customHeight="1">
      <c r="A6" s="49"/>
      <c r="B6" s="36">
        <v>0.05</v>
      </c>
      <c r="C6" s="37">
        <v>80</v>
      </c>
      <c r="D6" s="37">
        <v>218</v>
      </c>
      <c r="E6" s="37">
        <v>278</v>
      </c>
      <c r="F6" s="37">
        <v>341</v>
      </c>
      <c r="G6" s="37">
        <v>370</v>
      </c>
      <c r="H6" s="37">
        <v>383</v>
      </c>
      <c r="I6" s="37">
        <v>385</v>
      </c>
    </row>
    <row r="7" spans="1:9" ht="21" customHeight="1">
      <c r="A7" s="50"/>
      <c r="B7" s="36">
        <v>0.1</v>
      </c>
      <c r="C7" s="37">
        <v>50</v>
      </c>
      <c r="D7" s="37">
        <v>81</v>
      </c>
      <c r="E7" s="37">
        <v>88</v>
      </c>
      <c r="F7" s="37">
        <v>94</v>
      </c>
      <c r="G7" s="37">
        <v>96</v>
      </c>
      <c r="H7" s="37">
        <v>96</v>
      </c>
      <c r="I7" s="37">
        <v>97</v>
      </c>
    </row>
    <row r="8" spans="1:9">
      <c r="A8" s="33"/>
      <c r="B8" s="33"/>
      <c r="C8" s="38"/>
      <c r="D8" s="38"/>
      <c r="E8" s="38"/>
      <c r="F8" s="38"/>
      <c r="G8" s="38"/>
      <c r="H8" s="38"/>
      <c r="I8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2:I2"/>
    <mergeCell ref="A3:A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Sample_Calculator</vt:lpstr>
      <vt:lpstr>Sample_Size_Pop</vt:lpstr>
      <vt:lpstr>Python_Sample_Size_Table</vt:lpstr>
      <vt:lpstr>Adjusted_Sample_Size__Finite_Pop.</vt:lpstr>
      <vt:lpstr>Confidence_Level</vt:lpstr>
      <vt:lpstr>Margin_of_Error</vt:lpstr>
      <vt:lpstr>Population_Size__N</vt:lpstr>
      <vt:lpstr>Sample_Size__Infinite_Pop.</vt:lpstr>
      <vt:lpstr>Python_Sample_Size_Table!sample_size_reference_table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Herman, Jade</cp:lastModifiedBy>
  <dcterms:created xsi:type="dcterms:W3CDTF">2025-06-30T14:33:39Z</dcterms:created>
  <dcterms:modified xsi:type="dcterms:W3CDTF">2025-07-03T23:00:47Z</dcterms:modified>
</cp:coreProperties>
</file>